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si HPM Nike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B4D3E"/>
      </top>
      <bottom style="medium">
        <color rgb="001B4D3E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center" vertical="center"/>
    </xf>
    <xf numFmtId="166" fontId="4" fillId="3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165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25" customWidth="1" min="1" max="1"/>
    <col width="15" customWidth="1" min="2" max="2"/>
    <col width="25" customWidth="1" min="3" max="3"/>
    <col width="25" customWidth="1" min="4" max="4"/>
    <col width="25" customWidth="1" min="5" max="5"/>
    <col width="29" customWidth="1" min="6" max="6"/>
    <col width="26" customWidth="1" min="7" max="7"/>
  </cols>
  <sheetData>
    <row r="1">
      <c r="A1" s="1" t="inlineStr">
        <is>
          <t>SIMULASI PERHITUNGAN HARGA PATOKAN MINERAL (HPM) NIKEL</t>
        </is>
      </c>
    </row>
    <row r="2">
      <c r="A2" s="2" t="inlineStr">
        <is>
          <t>Berdasarkan Struktur Formula Penyesuaian Kepmen ESDM No. 144.K/2026 (Komponen Nikel + Kobalt)</t>
        </is>
      </c>
    </row>
    <row r="3"/>
    <row r="4">
      <c r="A4" s="3" t="inlineStr">
        <is>
          <t>Asumsi Harga Acuan Global (HMA) &amp; Parameter:</t>
        </is>
      </c>
    </row>
    <row r="5">
      <c r="A5" s="4" t="inlineStr">
        <is>
          <t>HMA Nikel (Ni) Dunia</t>
        </is>
      </c>
      <c r="B5" s="5" t="n">
        <v>16646</v>
      </c>
      <c r="C5" s="2" t="inlineStr">
        <is>
          <t>US$ / dmt</t>
        </is>
      </c>
    </row>
    <row r="6">
      <c r="A6" s="4" t="inlineStr">
        <is>
          <t>HMA Kobalt (Co) Dunia</t>
        </is>
      </c>
      <c r="B6" s="5" t="n">
        <v>28500</v>
      </c>
      <c r="C6" s="2" t="inlineStr">
        <is>
          <t>US$ / dmt</t>
        </is>
      </c>
    </row>
    <row r="7">
      <c r="A7" s="4" t="inlineStr">
        <is>
          <t>Kadar Air (Moisture Content - MC)</t>
        </is>
      </c>
      <c r="B7" s="6" t="n">
        <v>0.35</v>
      </c>
      <c r="C7" s="2" t="inlineStr">
        <is>
          <t>35%</t>
        </is>
      </c>
    </row>
    <row r="8">
      <c r="A8" s="4" t="inlineStr">
        <is>
          <t>Kadar Kobalt Tetap (Co Estimate)</t>
        </is>
      </c>
      <c r="B8" s="6" t="n">
        <v>0.001</v>
      </c>
      <c r="C8" s="2" t="inlineStr">
        <is>
          <t>0.10%</t>
        </is>
      </c>
    </row>
    <row r="9">
      <c r="A9" s="4" t="inlineStr">
        <is>
          <t>CF Kobalt Tetap (Co Correction Factor)</t>
        </is>
      </c>
      <c r="B9" s="6" t="n">
        <v>0.2</v>
      </c>
      <c r="C9" s="2" t="inlineStr">
        <is>
          <t>20.0%</t>
        </is>
      </c>
    </row>
    <row r="10"/>
    <row r="11"/>
    <row r="12">
      <c r="A12" s="7" t="inlineStr">
        <is>
          <t>Skenario Kualitas</t>
        </is>
      </c>
      <c r="B12" s="7" t="inlineStr">
        <is>
          <t>Kadar Ni (%)</t>
        </is>
      </c>
      <c r="C12" s="7" t="inlineStr">
        <is>
          <t>Faktor Koreksi Ni (CF)</t>
        </is>
      </c>
      <c r="D12" s="7" t="inlineStr">
        <is>
          <t>Nilai Unsur Ni ($/dmt)</t>
        </is>
      </c>
      <c r="E12" s="7" t="inlineStr">
        <is>
          <t>Nilai Bonus Co ($/dmt)</t>
        </is>
      </c>
      <c r="F12" s="7" t="inlineStr">
        <is>
          <t>Total Nilai Kering ($/dmt)</t>
        </is>
      </c>
      <c r="G12" s="7" t="inlineStr">
        <is>
          <t>HPM Batas Bawah ($/WMT)</t>
        </is>
      </c>
    </row>
    <row r="13">
      <c r="A13" s="8" t="inlineStr">
        <is>
          <t>Kadar Rendah (Limonit 1)</t>
        </is>
      </c>
      <c r="B13" s="9" t="n">
        <v>0.013</v>
      </c>
      <c r="C13" s="9">
        <f>0.30+((B13-0.016)*10)</f>
        <v/>
      </c>
      <c r="D13" s="10">
        <f>B13*C13*$B$5</f>
        <v/>
      </c>
      <c r="E13" s="10">
        <f>$B$8*$B$9*$B$6</f>
        <v/>
      </c>
      <c r="F13" s="11">
        <f>D13+E13</f>
        <v/>
      </c>
      <c r="G13" s="11">
        <f>F13*(1-$B$7)</f>
        <v/>
      </c>
    </row>
    <row r="14">
      <c r="A14" s="12" t="inlineStr">
        <is>
          <t>Kadar Rendah (Limonit 2)</t>
        </is>
      </c>
      <c r="B14" s="13" t="n">
        <v>0.014</v>
      </c>
      <c r="C14" s="13">
        <f>0.30+((B14-0.016)*10)</f>
        <v/>
      </c>
      <c r="D14" s="14">
        <f>B14*C14*$B$5</f>
        <v/>
      </c>
      <c r="E14" s="14">
        <f>$B$8*$B$9*$B$6</f>
        <v/>
      </c>
      <c r="F14" s="15">
        <f>D14+E14</f>
        <v/>
      </c>
      <c r="G14" s="15">
        <f>F14*(1-$B$7)</f>
        <v/>
      </c>
    </row>
    <row r="15">
      <c r="A15" s="8" t="inlineStr">
        <is>
          <t>Kadar Menengah (Limonit 3)</t>
        </is>
      </c>
      <c r="B15" s="9" t="n">
        <v>0.015</v>
      </c>
      <c r="C15" s="9">
        <f>0.30+((B15-0.016)*10)</f>
        <v/>
      </c>
      <c r="D15" s="10">
        <f>B15*C15*$B$5</f>
        <v/>
      </c>
      <c r="E15" s="10">
        <f>$B$8*$B$9*$B$6</f>
        <v/>
      </c>
      <c r="F15" s="11">
        <f>D15+E15</f>
        <v/>
      </c>
      <c r="G15" s="11">
        <f>F15*(1-$B$7)</f>
        <v/>
      </c>
    </row>
    <row r="16">
      <c r="A16" s="12" t="inlineStr">
        <is>
          <t>Kadar Dasar Aturan (Saprolit Basis)</t>
        </is>
      </c>
      <c r="B16" s="13" t="n">
        <v>0.016</v>
      </c>
      <c r="C16" s="13">
        <f>0.30+((B16-0.016)*10)</f>
        <v/>
      </c>
      <c r="D16" s="14">
        <f>B16*C16*$B$5</f>
        <v/>
      </c>
      <c r="E16" s="14">
        <f>$B$8*$B$9*$B$6</f>
        <v/>
      </c>
      <c r="F16" s="15">
        <f>D16+E16</f>
        <v/>
      </c>
      <c r="G16" s="15">
        <f>F16*(1-$B$7)</f>
        <v/>
      </c>
    </row>
    <row r="17">
      <c r="A17" s="8" t="inlineStr">
        <is>
          <t>Kadar Tinggi (Saprolit Premium 1)</t>
        </is>
      </c>
      <c r="B17" s="9" t="n">
        <v>0.017</v>
      </c>
      <c r="C17" s="9">
        <f>0.30+((B17-0.016)*10)</f>
        <v/>
      </c>
      <c r="D17" s="10">
        <f>B17*C17*$B$5</f>
        <v/>
      </c>
      <c r="E17" s="10">
        <f>$B$8*$B$9*$B$6</f>
        <v/>
      </c>
      <c r="F17" s="11">
        <f>D17+E17</f>
        <v/>
      </c>
      <c r="G17" s="11">
        <f>F17*(1-$B$7)</f>
        <v/>
      </c>
    </row>
    <row r="18">
      <c r="A18" s="12" t="inlineStr">
        <is>
          <t>Kadar Tinggi (Saprolit Premium 2)</t>
        </is>
      </c>
      <c r="B18" s="13" t="n">
        <v>0.018</v>
      </c>
      <c r="C18" s="13">
        <f>0.30+((B18-0.016)*10)</f>
        <v/>
      </c>
      <c r="D18" s="14">
        <f>B18*C18*$B$5</f>
        <v/>
      </c>
      <c r="E18" s="14">
        <f>$B$8*$B$9*$B$6</f>
        <v/>
      </c>
      <c r="F18" s="15">
        <f>D18+E18</f>
        <v/>
      </c>
      <c r="G18" s="15">
        <f>F18*(1-$B$7)</f>
        <v/>
      </c>
    </row>
    <row r="19"/>
    <row r="20"/>
    <row r="21">
      <c r="A21" s="3" t="inlineStr">
        <is>
          <t>Catatan Aturan / Legend:</t>
        </is>
      </c>
    </row>
    <row r="22">
      <c r="A22" s="2" t="inlineStr">
        <is>
          <t>* Formula di atas mengikuti struktur penyesuaian penambahan mineral ikutan (Kobalt) wajib sesuai Kepmen 144/2026.</t>
        </is>
      </c>
    </row>
    <row r="23">
      <c r="A23" s="2" t="inlineStr">
        <is>
          <t>* Kadar nikel 1.6% merupakan parameter jangkar (Base) dengan CF 30%.</t>
        </is>
      </c>
    </row>
    <row r="24">
      <c r="A24" s="2" t="inlineStr">
        <is>
          <t>* Kenaikan atau penurunan setiap 0.1% kadar Ni akan menyesuaikan nilai CF sebesar 1.0% secara otomatis.</t>
        </is>
      </c>
    </row>
    <row r="25">
      <c r="A25" s="2" t="inlineStr">
        <is>
          <t>* Hasil akhir dikalikan dengan (1 - Moisture Content) untuk mendapatkan nilai basah (WMT) yang ditransaksikan di lapangan.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2026-08-12T01:28:51Z</dcterms:created>
  <dcterms:modified xmlns:dcterms="http://purl.org/dc/terms/" xmlns:xsi="http://www.w3.org/2001/XMLSchema-instance" xsi:type="dcterms:W3CDTF">2026-08-12T01:28:51Z</dcterms:modified>
</cp:coreProperties>
</file>